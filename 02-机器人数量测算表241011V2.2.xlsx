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575"/>
  </bookViews>
  <sheets>
    <sheet name="机器人数量测算" sheetId="32" r:id="rId1"/>
    <sheet name="Sheet2" sheetId="31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<sst xmlns="http://schemas.openxmlformats.org/spreadsheetml/2006/main" count="125" uniqueCount="102">
  <si>
    <t>·</t>
  </si>
  <si>
    <t>机器人数量测算表</t>
  </si>
  <si>
    <t>业务流程</t>
  </si>
  <si>
    <t>执行动作</t>
  </si>
  <si>
    <t>效率测算</t>
  </si>
  <si>
    <t>数量</t>
  </si>
  <si>
    <t>序号</t>
  </si>
  <si>
    <t>搬运流程</t>
  </si>
  <si>
    <t>搬运货物</t>
  </si>
  <si>
    <t>搬运节拍</t>
  </si>
  <si>
    <t>车型</t>
  </si>
  <si>
    <t>取放货</t>
  </si>
  <si>
    <t>举升高度</t>
  </si>
  <si>
    <t>栈板识别</t>
  </si>
  <si>
    <t>搬运距离</t>
  </si>
  <si>
    <t>平均速度</t>
  </si>
  <si>
    <t>转弯</t>
  </si>
  <si>
    <t>设备对接</t>
  </si>
  <si>
    <t>取放耗时</t>
  </si>
  <si>
    <t>举升耗时</t>
  </si>
  <si>
    <t>工步通讯</t>
  </si>
  <si>
    <t>运行耗时</t>
  </si>
  <si>
    <t>转弯耗时</t>
  </si>
  <si>
    <t>对接耗时</t>
  </si>
  <si>
    <t>交管耗时</t>
  </si>
  <si>
    <t>作业时间</t>
  </si>
  <si>
    <t>搬运能力</t>
  </si>
  <si>
    <t>理论数量</t>
  </si>
  <si>
    <t>汇总数量</t>
  </si>
  <si>
    <t>工作时充电</t>
  </si>
  <si>
    <t>充电数量</t>
  </si>
  <si>
    <t>利用率</t>
  </si>
  <si>
    <t>建议投入</t>
  </si>
  <si>
    <t>起点→终点</t>
  </si>
  <si>
    <t>/</t>
  </si>
  <si>
    <t>托/趟/h</t>
  </si>
  <si>
    <t>次</t>
  </si>
  <si>
    <t>m</t>
  </si>
  <si>
    <t>m/s</t>
  </si>
  <si>
    <t>个</t>
  </si>
  <si>
    <t>s</t>
  </si>
  <si>
    <t>托/h</t>
  </si>
  <si>
    <t>台</t>
  </si>
  <si>
    <t>%</t>
  </si>
  <si>
    <t>A→B</t>
  </si>
  <si>
    <t>半成品</t>
  </si>
  <si>
    <t>AS</t>
  </si>
  <si>
    <t>不放入方案中</t>
  </si>
  <si>
    <t>选择性放入方案中</t>
  </si>
  <si>
    <t>数量测算说明：【不放入方案中】</t>
  </si>
  <si>
    <t>单段搬运流程：</t>
  </si>
  <si>
    <r>
      <rPr>
        <sz val="14"/>
        <rFont val="微软雅黑"/>
        <charset val="134"/>
      </rPr>
      <t>要注意核算空托盘返回流程，空托盘组节拍常为8-10个/趟计算，注意搬运节拍；对于双库位，注意待命点的设置—涉及机器人跑2趟还是1趟完成取空上满作业（</t>
    </r>
    <r>
      <rPr>
        <sz val="14"/>
        <color rgb="FFC00000"/>
        <rFont val="微软雅黑"/>
        <charset val="134"/>
      </rPr>
      <t>注意测算连贯动作下运行距离</t>
    </r>
    <r>
      <rPr>
        <sz val="14"/>
        <rFont val="微软雅黑"/>
        <charset val="134"/>
      </rPr>
      <t>）；</t>
    </r>
  </si>
  <si>
    <t>往返复合流程：</t>
  </si>
  <si>
    <t>往-送货/返-取货任务节拍若可以兼顾时，需要考虑整个复合流程下的任务兼容率（常规可按30%估算，单一送货任务运行时长＞2倍取货任务时长）和取+放货连贯动作的运行距离。</t>
  </si>
  <si>
    <t>取放货耗时：</t>
  </si>
  <si>
    <r>
      <rPr>
        <sz val="14"/>
        <rFont val="微软雅黑"/>
        <charset val="134"/>
      </rPr>
      <t>单次取/放货动作时间包含倒退进库位→举升/下降（≤1m升降）→退出库位，注意取+放货次数（复合循环任务x2）；若复合任务之间有等待，需要加上等待时间。</t>
    </r>
    <r>
      <rPr>
        <sz val="14"/>
        <color rgb="FFC00000"/>
        <rFont val="微软雅黑"/>
        <charset val="134"/>
      </rPr>
      <t>特殊：AR车型需计算门架前移时间=前移距离x2/前移速度；AU车型需要计算货叉回转时间</t>
    </r>
  </si>
  <si>
    <t>≥1米升降耗时：</t>
  </si>
  <si>
    <r>
      <rPr>
        <sz val="14"/>
        <color rgb="FFC00000"/>
        <rFont val="微软雅黑"/>
        <charset val="134"/>
      </rPr>
      <t>≥1米的升降取放货，需要根据超过量（Xm-1m）÷门架升降速度x2次（升+降）核算；</t>
    </r>
    <r>
      <rPr>
        <sz val="14"/>
        <rFont val="微软雅黑"/>
        <charset val="134"/>
      </rPr>
      <t>≤1米举升时按1米计算，</t>
    </r>
    <r>
      <rPr>
        <sz val="14"/>
        <color rgb="FFC00000"/>
        <rFont val="微软雅黑"/>
        <charset val="134"/>
      </rPr>
      <t>对于货架场景，升降距离=最高距离x0.7</t>
    </r>
    <r>
      <rPr>
        <sz val="14"/>
        <rFont val="微软雅黑"/>
        <charset val="134"/>
      </rPr>
      <t>；</t>
    </r>
  </si>
  <si>
    <t>工步通讯耗时：</t>
  </si>
  <si>
    <t>每次取、放货时，机器人与RDS系统通讯耗时5s/次；</t>
  </si>
  <si>
    <t>栈板识别耗时：</t>
  </si>
  <si>
    <t>常用于取货时，按15s/次时间计算（停车拍照→模型匹配→执行纠偏）；</t>
  </si>
  <si>
    <t>往返搬运距离：</t>
  </si>
  <si>
    <r>
      <rPr>
        <sz val="14"/>
        <rFont val="微软雅黑"/>
        <charset val="134"/>
      </rPr>
      <t>按往返计算，需结合待命点核算（从待命点发车，任务执行完回归待命点等待，除非单一场景车数≥3台以上需求）；对于存在分叉路径，搬运距离按照</t>
    </r>
    <r>
      <rPr>
        <sz val="14"/>
        <color rgb="FFC00000"/>
        <rFont val="微软雅黑"/>
        <charset val="134"/>
      </rPr>
      <t>分叉段中最远距离的0.7进行测算（距离取整+5%冗余计算）；</t>
    </r>
  </si>
  <si>
    <t>平均速度：</t>
  </si>
  <si>
    <r>
      <rPr>
        <sz val="14"/>
        <rFont val="微软雅黑"/>
        <charset val="134"/>
      </rPr>
      <t>单段距离直线至少超过20m且无交管，常规平均速度可取0.8m/s，每段距离≤20m，平均速度建议取0.6m/s；每段距离≥50m，平均速度可以取满载时的最大速度（1m/s）；</t>
    </r>
    <r>
      <rPr>
        <sz val="14"/>
        <color rgb="FFC00000"/>
        <rFont val="微软雅黑"/>
        <charset val="134"/>
      </rPr>
      <t>注意：特殊车型MP10，最大平均速度0.6m/s；</t>
    </r>
  </si>
  <si>
    <t>转弯耗时：</t>
  </si>
  <si>
    <t>转弯距离不计入搬运距离（直线）内，按单个转弯/自旋计算，常规取值5s/次；</t>
  </si>
  <si>
    <t>设备对接耗时：</t>
  </si>
  <si>
    <r>
      <rPr>
        <sz val="14"/>
        <rFont val="微软雅黑"/>
        <charset val="134"/>
      </rPr>
      <t>对接设备自动门、输送线、电梯对接取放货、其他设备对接按</t>
    </r>
    <r>
      <rPr>
        <sz val="14"/>
        <color rgb="FFC00000"/>
        <rFont val="微软雅黑"/>
        <charset val="134"/>
      </rPr>
      <t>10s/次</t>
    </r>
    <r>
      <rPr>
        <sz val="14"/>
        <rFont val="微软雅黑"/>
        <charset val="134"/>
      </rPr>
      <t>计算；乘梯换乘按照</t>
    </r>
    <r>
      <rPr>
        <sz val="14"/>
        <color rgb="FFC00000"/>
        <rFont val="微软雅黑"/>
        <charset val="134"/>
      </rPr>
      <t>45s/次</t>
    </r>
    <r>
      <rPr>
        <sz val="14"/>
        <rFont val="微软雅黑"/>
        <charset val="134"/>
      </rPr>
      <t>计算</t>
    </r>
  </si>
  <si>
    <t>交管耗时：</t>
  </si>
  <si>
    <t>经验取值（可仿真模拟）：车数x0.5x(十字路口型交管15s/次+单通道往返型交管45s/次）；</t>
  </si>
  <si>
    <t>汇总数量：</t>
  </si>
  <si>
    <r>
      <rPr>
        <sz val="14"/>
        <rFont val="微软雅黑"/>
        <charset val="134"/>
      </rPr>
      <t>针对的</t>
    </r>
    <r>
      <rPr>
        <sz val="14"/>
        <color rgb="FFC00000"/>
        <rFont val="微软雅黑"/>
        <charset val="134"/>
      </rPr>
      <t>同一个区域内</t>
    </r>
    <r>
      <rPr>
        <sz val="14"/>
        <rFont val="微软雅黑"/>
        <charset val="134"/>
      </rPr>
      <t>可以互相调用的</t>
    </r>
    <r>
      <rPr>
        <sz val="14"/>
        <color rgb="FFC00000"/>
        <rFont val="微软雅黑"/>
        <charset val="134"/>
      </rPr>
      <t>同种车型</t>
    </r>
    <r>
      <rPr>
        <sz val="14"/>
        <rFont val="微软雅黑"/>
        <charset val="134"/>
      </rPr>
      <t>计算；反之，不合并；</t>
    </r>
  </si>
  <si>
    <t>充电数量：</t>
  </si>
  <si>
    <r>
      <rPr>
        <sz val="14"/>
        <rFont val="微软雅黑"/>
        <charset val="134"/>
      </rPr>
      <t>需要根据充电时间/续航时间（常规充放比取值1：4）来计算；</t>
    </r>
    <r>
      <rPr>
        <sz val="14"/>
        <color rgb="FFC00000"/>
        <rFont val="微软雅黑"/>
        <charset val="134"/>
      </rPr>
      <t>注意特殊车型：APe15充放比1：3；AM15充放比1：5；TP30充放比：1：2.5；若休息时间可充电且能满足补电需要无需计算充电耗时，但需注意充电桩数=机器人数；</t>
    </r>
  </si>
  <si>
    <t>利用率：</t>
  </si>
  <si>
    <t>常用于机器人等待区空等或运行过程中其他影响（遇障等待、网络延迟等）带来的容差（可用于搬运产能提升预留），一般利用率取值85~90%，最大不建议超过95%。</t>
  </si>
  <si>
    <t>门架
移动
速度</t>
  </si>
  <si>
    <t>AM</t>
  </si>
  <si>
    <t>AE</t>
  </si>
  <si>
    <t>AE20</t>
  </si>
  <si>
    <t>AR</t>
  </si>
  <si>
    <t>AR20</t>
  </si>
  <si>
    <t>ARV</t>
  </si>
  <si>
    <t>AU</t>
  </si>
  <si>
    <t>门架
举升速度</t>
  </si>
  <si>
    <t>空载</t>
  </si>
  <si>
    <t>满载</t>
  </si>
  <si>
    <t>门架
下降速度</t>
  </si>
  <si>
    <t>门架
前移速度</t>
  </si>
  <si>
    <t>门架
回转速度</t>
  </si>
  <si>
    <t>单位：m/s</t>
  </si>
  <si>
    <t>取货时间</t>
  </si>
  <si>
    <t>放货时间</t>
  </si>
  <si>
    <t>取放货时间</t>
  </si>
  <si>
    <t>托盘车</t>
  </si>
  <si>
    <t>平衡重</t>
  </si>
  <si>
    <t>侧叉式</t>
  </si>
  <si>
    <t>三向式</t>
  </si>
  <si>
    <t>堆高车</t>
  </si>
  <si>
    <t>前移式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</si>
</sst>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_ "/>
    <numFmt numFmtId="179" formatCode="#,##0.00;[Red]#,##0.00"/>
    <numFmt numFmtId="180" formatCode="0.00;[Red]0.00"/>
    <numFmt numFmtId="181" formatCode="0;[Red]0"/>
  </numFmts>
  <fonts count="34">
    <font>
      <sz val="11"/>
      <color theme="1"/>
      <name val="宋体"/>
      <charset val="134"/>
      <scheme val="minor"/>
    </font>
    <font>
      <sz val="14"/>
      <name val="宋体"/>
      <charset val="134"/>
      <scheme val="minor"/>
    </font>
    <font>
      <sz val="12"/>
      <name val="宋体"/>
      <charset val="134"/>
      <scheme val="minor"/>
    </font>
    <font>
      <sz val="11"/>
      <name val="微软雅黑"/>
      <charset val="134"/>
    </font>
    <font>
      <sz val="12"/>
      <name val="微软雅黑"/>
      <charset val="134"/>
    </font>
    <font>
      <b/>
      <sz val="20"/>
      <name val="微软雅黑"/>
      <charset val="134"/>
    </font>
    <font>
      <sz val="14"/>
      <name val="微软雅黑"/>
      <charset val="134"/>
    </font>
    <font>
      <sz val="12"/>
      <color rgb="FFC00000"/>
      <name val="微软雅黑"/>
      <charset val="134"/>
    </font>
    <font>
      <b/>
      <sz val="14"/>
      <name val="微软雅黑"/>
      <charset val="134"/>
    </font>
    <font>
      <sz val="14"/>
      <color rgb="FFC00000"/>
      <name val="微软雅黑"/>
      <charset val="134"/>
    </font>
    <font>
      <b/>
      <sz val="14"/>
      <color rgb="FFC00000"/>
      <name val="微软雅黑"/>
      <charset val="134"/>
    </font>
    <font>
      <b/>
      <sz val="12"/>
      <name val="微软雅黑"/>
      <charset val="134"/>
    </font>
    <font>
      <b/>
      <sz val="11"/>
      <name val="微软雅黑"/>
      <charset val="134"/>
    </font>
    <font>
      <b/>
      <sz val="12"/>
      <color rgb="FFC00000"/>
      <name val="微软雅黑"/>
      <charset val="134"/>
    </font>
    <font>
      <b/>
      <sz val="1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8" borderId="13" applyNumberFormat="0" applyAlignment="0" applyProtection="0">
      <alignment vertical="center"/>
    </xf>
    <xf numFmtId="0" fontId="25" fillId="8" borderId="12" applyNumberFormat="0" applyAlignment="0" applyProtection="0">
      <alignment vertical="center"/>
    </xf>
    <xf numFmtId="0" fontId="26" fillId="9" borderId="14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 shrinkToFit="1"/>
    </xf>
    <xf numFmtId="0" fontId="3" fillId="0" borderId="0" xfId="0" applyFont="1" applyFill="1" applyAlignment="1">
      <alignment horizontal="center" vertical="center" shrinkToFit="1"/>
    </xf>
    <xf numFmtId="0" fontId="4" fillId="0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6" fillId="0" borderId="1" xfId="0" applyNumberFormat="1" applyFont="1" applyFill="1" applyBorder="1" applyAlignment="1">
      <alignment horizontal="center" vertical="center" wrapText="1" readingOrder="1"/>
    </xf>
    <xf numFmtId="0" fontId="4" fillId="0" borderId="2" xfId="0" applyFont="1" applyFill="1" applyBorder="1" applyAlignment="1">
      <alignment horizontal="center" vertical="center" shrinkToFit="1"/>
    </xf>
    <xf numFmtId="3" fontId="4" fillId="0" borderId="1" xfId="0" applyNumberFormat="1" applyFont="1" applyFill="1" applyBorder="1" applyAlignment="1">
      <alignment horizontal="center" vertical="center" shrinkToFit="1"/>
    </xf>
    <xf numFmtId="176" fontId="4" fillId="0" borderId="1" xfId="0" applyNumberFormat="1" applyFont="1" applyFill="1" applyBorder="1" applyAlignment="1">
      <alignment horizontal="center" vertical="center" shrinkToFit="1"/>
    </xf>
    <xf numFmtId="177" fontId="4" fillId="0" borderId="1" xfId="0" applyNumberFormat="1" applyFont="1" applyFill="1" applyBorder="1" applyAlignment="1">
      <alignment horizontal="center" vertical="center" shrinkToFit="1"/>
    </xf>
    <xf numFmtId="0" fontId="3" fillId="0" borderId="3" xfId="0" applyFont="1" applyFill="1" applyBorder="1" applyAlignment="1">
      <alignment horizontal="center" vertical="center" shrinkToFit="1"/>
    </xf>
    <xf numFmtId="3" fontId="3" fillId="0" borderId="1" xfId="0" applyNumberFormat="1" applyFont="1" applyFill="1" applyBorder="1" applyAlignment="1">
      <alignment horizontal="center" vertical="center" shrinkToFit="1"/>
    </xf>
    <xf numFmtId="176" fontId="3" fillId="0" borderId="1" xfId="0" applyNumberFormat="1" applyFont="1" applyFill="1" applyBorder="1" applyAlignment="1">
      <alignment horizontal="center" vertical="center" shrinkToFit="1"/>
    </xf>
    <xf numFmtId="177" fontId="3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/>
    </xf>
    <xf numFmtId="3" fontId="7" fillId="0" borderId="4" xfId="0" applyNumberFormat="1" applyFont="1" applyFill="1" applyBorder="1" applyAlignment="1">
      <alignment horizontal="center" vertical="center" wrapText="1" readingOrder="1"/>
    </xf>
    <xf numFmtId="178" fontId="7" fillId="0" borderId="1" xfId="0" applyNumberFormat="1" applyFont="1" applyFill="1" applyBorder="1" applyAlignment="1">
      <alignment horizontal="center" vertical="center" wrapText="1" readingOrder="1"/>
    </xf>
    <xf numFmtId="176" fontId="7" fillId="0" borderId="1" xfId="0" applyNumberFormat="1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left" vertical="center"/>
    </xf>
    <xf numFmtId="0" fontId="8" fillId="2" borderId="5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3" fontId="6" fillId="3" borderId="6" xfId="0" applyNumberFormat="1" applyFont="1" applyFill="1" applyBorder="1" applyAlignment="1">
      <alignment horizontal="center" vertical="center" wrapText="1" readingOrder="1"/>
    </xf>
    <xf numFmtId="3" fontId="6" fillId="3" borderId="7" xfId="0" applyNumberFormat="1" applyFont="1" applyFill="1" applyBorder="1" applyAlignment="1">
      <alignment horizontal="center" vertical="center" wrapText="1" readingOrder="1"/>
    </xf>
    <xf numFmtId="0" fontId="4" fillId="0" borderId="1" xfId="0" applyFont="1" applyFill="1" applyBorder="1" applyAlignment="1">
      <alignment horizontal="center" vertical="center" shrinkToFit="1"/>
    </xf>
    <xf numFmtId="179" fontId="4" fillId="3" borderId="8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179" fontId="3" fillId="3" borderId="1" xfId="0" applyNumberFormat="1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vertical="center"/>
    </xf>
    <xf numFmtId="180" fontId="4" fillId="3" borderId="1" xfId="0" applyNumberFormat="1" applyFont="1" applyFill="1" applyBorder="1" applyAlignment="1" applyProtection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 shrinkToFit="1"/>
    </xf>
    <xf numFmtId="181" fontId="7" fillId="4" borderId="1" xfId="0" applyNumberFormat="1" applyFont="1" applyFill="1" applyBorder="1" applyAlignment="1">
      <alignment horizontal="center" vertical="center" wrapText="1" readingOrder="1"/>
    </xf>
    <xf numFmtId="180" fontId="4" fillId="3" borderId="1" xfId="0" applyNumberFormat="1" applyFont="1" applyFill="1" applyBorder="1" applyAlignment="1">
      <alignment horizontal="center" vertical="center" wrapText="1" readingOrder="1"/>
    </xf>
    <xf numFmtId="177" fontId="4" fillId="3" borderId="1" xfId="0" applyNumberFormat="1" applyFont="1" applyFill="1" applyBorder="1" applyAlignment="1">
      <alignment horizontal="center" vertical="center" wrapText="1" readingOrder="1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3" fontId="6" fillId="3" borderId="4" xfId="0" applyNumberFormat="1" applyFont="1" applyFill="1" applyBorder="1" applyAlignment="1">
      <alignment horizontal="center" vertical="center" wrapText="1" readingOrder="1"/>
    </xf>
    <xf numFmtId="179" fontId="11" fillId="0" borderId="8" xfId="0" applyNumberFormat="1" applyFont="1" applyFill="1" applyBorder="1" applyAlignment="1">
      <alignment horizontal="center" vertical="center" shrinkToFit="1"/>
    </xf>
    <xf numFmtId="0" fontId="12" fillId="0" borderId="1" xfId="0" applyFont="1" applyFill="1" applyBorder="1" applyAlignment="1">
      <alignment horizontal="center" vertical="center" shrinkToFit="1"/>
    </xf>
    <xf numFmtId="176" fontId="13" fillId="4" borderId="1" xfId="3" applyNumberFormat="1" applyFont="1" applyFill="1" applyBorder="1" applyAlignment="1">
      <alignment horizontal="center" vertical="center" wrapText="1" readingOrder="1"/>
    </xf>
    <xf numFmtId="9" fontId="4" fillId="3" borderId="1" xfId="3" applyNumberFormat="1" applyFont="1" applyFill="1" applyBorder="1" applyAlignment="1" applyProtection="1">
      <alignment horizontal="center" vertical="center" wrapText="1" readingOrder="1"/>
    </xf>
    <xf numFmtId="0" fontId="14" fillId="5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95A3C6"/>
      <color rgb="001ACEE6"/>
      <color rgb="0020C3E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94615</xdr:colOff>
      <xdr:row>0</xdr:row>
      <xdr:rowOff>94615</xdr:rowOff>
    </xdr:from>
    <xdr:to>
      <xdr:col>1</xdr:col>
      <xdr:colOff>490220</xdr:colOff>
      <xdr:row>1</xdr:row>
      <xdr:rowOff>370840</xdr:rowOff>
    </xdr:to>
    <xdr:pic>
      <xdr:nvPicPr>
        <xdr:cNvPr id="3" name="图片 2" descr="logo-张老师_00"/>
        <xdr:cNvPicPr>
          <a:picLocks noChangeAspect="1"/>
        </xdr:cNvPicPr>
      </xdr:nvPicPr>
      <xdr:blipFill>
        <a:blip r:embed="rId1"/>
        <a:srcRect l="54888" t="22491" r="19943" b="39163"/>
        <a:stretch>
          <a:fillRect/>
        </a:stretch>
      </xdr:blipFill>
      <xdr:spPr>
        <a:xfrm>
          <a:off x="94615" y="94615"/>
          <a:ext cx="814705" cy="708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31"/>
  <sheetViews>
    <sheetView showGridLines="0" tabSelected="1" zoomScale="55" zoomScaleNormal="55" topLeftCell="A5" workbookViewId="0">
      <selection activeCell="A2" sqref="A2:AB2"/>
    </sheetView>
  </sheetViews>
  <sheetFormatPr defaultColWidth="8.66666666666667" defaultRowHeight="17.4"/>
  <cols>
    <col min="1" max="1" width="6.11111111111111" style="7" customWidth="1"/>
    <col min="2" max="2" width="20.6018518518519" style="8" customWidth="1"/>
    <col min="3" max="3" width="12.1203703703704" style="8" customWidth="1"/>
    <col min="4" max="4" width="12.212962962963" style="8" customWidth="1"/>
    <col min="5" max="5" width="9.84259259259259" style="8" customWidth="1"/>
    <col min="6" max="6" width="9.36111111111111" style="8" customWidth="1"/>
    <col min="7" max="7" width="13.1296296296296" style="8" customWidth="1"/>
    <col min="8" max="8" width="9.36111111111111" style="8" customWidth="1"/>
    <col min="9" max="10" width="10.6666666666667" style="8" customWidth="1"/>
    <col min="11" max="11" width="10.7037037037037" style="8" customWidth="1"/>
    <col min="12" max="12" width="11.1018518518519" style="8" customWidth="1"/>
    <col min="13" max="16" width="13.1759259259259" style="8" customWidth="1"/>
    <col min="17" max="17" width="11.2685185185185" style="9" customWidth="1"/>
    <col min="18" max="18" width="11.3888888888889" style="9" customWidth="1"/>
    <col min="19" max="19" width="12.0555555555556" style="9" customWidth="1"/>
    <col min="20" max="20" width="11.5740740740741" style="9" customWidth="1"/>
    <col min="21" max="21" width="11.5833333333333" style="7" customWidth="1"/>
    <col min="22" max="22" width="12.3796296296296" style="7" customWidth="1"/>
    <col min="23" max="23" width="10.6666666666667" style="7" customWidth="1"/>
    <col min="24" max="24" width="13.3333333333333" style="7" customWidth="1"/>
    <col min="25" max="25" width="12.0648148148148" style="7" customWidth="1"/>
    <col min="26" max="26" width="12.7314814814815" style="7" customWidth="1"/>
    <col min="27" max="27" width="11.1018518518519" style="7" customWidth="1"/>
    <col min="28" max="28" width="12.6944444444444" style="7" customWidth="1"/>
    <col min="29" max="16384" width="8.66666666666667" style="7"/>
  </cols>
  <sheetData>
    <row r="1" ht="34" customHeight="1" spans="1:28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U1" s="9"/>
      <c r="V1" s="9"/>
      <c r="W1" s="9"/>
      <c r="X1" s="9"/>
      <c r="Y1" s="9"/>
      <c r="Z1" s="9"/>
      <c r="AA1" s="9"/>
      <c r="AB1" s="9"/>
    </row>
    <row r="2" customFormat="1" ht="34" customHeight="1" spans="1:28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="2" customFormat="1" ht="34" customHeight="1" spans="1:28">
      <c r="A3" s="11" t="s">
        <v>2</v>
      </c>
      <c r="B3" s="11"/>
      <c r="C3" s="11"/>
      <c r="D3" s="11"/>
      <c r="E3" s="11" t="s">
        <v>3</v>
      </c>
      <c r="F3" s="11"/>
      <c r="G3" s="11"/>
      <c r="H3" s="11"/>
      <c r="I3" s="11"/>
      <c r="J3" s="11"/>
      <c r="K3" s="11"/>
      <c r="L3" s="11"/>
      <c r="M3" s="39" t="s">
        <v>4</v>
      </c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55"/>
      <c r="AB3" s="11" t="s">
        <v>5</v>
      </c>
    </row>
    <row r="4" s="3" customFormat="1" ht="31" customHeight="1" spans="1:28">
      <c r="A4" s="12" t="s">
        <v>6</v>
      </c>
      <c r="B4" s="13" t="s">
        <v>7</v>
      </c>
      <c r="C4" s="13" t="s">
        <v>8</v>
      </c>
      <c r="D4" s="14" t="s">
        <v>9</v>
      </c>
      <c r="E4" s="15" t="s">
        <v>10</v>
      </c>
      <c r="F4" s="15" t="s">
        <v>11</v>
      </c>
      <c r="G4" s="15" t="s">
        <v>12</v>
      </c>
      <c r="H4" s="15" t="s">
        <v>13</v>
      </c>
      <c r="I4" s="41" t="s">
        <v>14</v>
      </c>
      <c r="J4" s="41" t="s">
        <v>15</v>
      </c>
      <c r="K4" s="41" t="s">
        <v>16</v>
      </c>
      <c r="L4" s="41" t="s">
        <v>17</v>
      </c>
      <c r="M4" s="42" t="s">
        <v>18</v>
      </c>
      <c r="N4" s="42" t="s">
        <v>19</v>
      </c>
      <c r="O4" s="42" t="s">
        <v>20</v>
      </c>
      <c r="P4" s="42" t="s">
        <v>13</v>
      </c>
      <c r="Q4" s="42" t="s">
        <v>21</v>
      </c>
      <c r="R4" s="42" t="s">
        <v>22</v>
      </c>
      <c r="S4" s="42" t="s">
        <v>23</v>
      </c>
      <c r="T4" s="42" t="s">
        <v>24</v>
      </c>
      <c r="U4" s="42" t="s">
        <v>25</v>
      </c>
      <c r="V4" s="42" t="s">
        <v>26</v>
      </c>
      <c r="W4" s="49" t="s">
        <v>27</v>
      </c>
      <c r="X4" s="42" t="s">
        <v>28</v>
      </c>
      <c r="Y4" s="42" t="s">
        <v>29</v>
      </c>
      <c r="Z4" s="42" t="s">
        <v>30</v>
      </c>
      <c r="AA4" s="42" t="s">
        <v>31</v>
      </c>
      <c r="AB4" s="56" t="s">
        <v>32</v>
      </c>
    </row>
    <row r="5" s="4" customFormat="1" ht="25" customHeight="1" spans="1:28">
      <c r="A5" s="16"/>
      <c r="B5" s="17" t="s">
        <v>33</v>
      </c>
      <c r="C5" s="17" t="s">
        <v>34</v>
      </c>
      <c r="D5" s="18" t="s">
        <v>35</v>
      </c>
      <c r="E5" s="19" t="s">
        <v>34</v>
      </c>
      <c r="F5" s="19" t="s">
        <v>36</v>
      </c>
      <c r="G5" s="19" t="s">
        <v>37</v>
      </c>
      <c r="H5" s="19" t="s">
        <v>36</v>
      </c>
      <c r="I5" s="43" t="s">
        <v>37</v>
      </c>
      <c r="J5" s="43" t="s">
        <v>38</v>
      </c>
      <c r="K5" s="43" t="s">
        <v>39</v>
      </c>
      <c r="L5" s="43" t="s">
        <v>36</v>
      </c>
      <c r="M5" s="44" t="s">
        <v>40</v>
      </c>
      <c r="N5" s="44" t="s">
        <v>40</v>
      </c>
      <c r="O5" s="44" t="s">
        <v>40</v>
      </c>
      <c r="P5" s="44" t="s">
        <v>40</v>
      </c>
      <c r="Q5" s="44" t="s">
        <v>40</v>
      </c>
      <c r="R5" s="44" t="s">
        <v>40</v>
      </c>
      <c r="S5" s="44" t="s">
        <v>40</v>
      </c>
      <c r="T5" s="44" t="s">
        <v>40</v>
      </c>
      <c r="U5" s="44" t="s">
        <v>40</v>
      </c>
      <c r="V5" s="44" t="s">
        <v>41</v>
      </c>
      <c r="W5" s="44" t="s">
        <v>42</v>
      </c>
      <c r="X5" s="44" t="s">
        <v>42</v>
      </c>
      <c r="Y5" s="44" t="s">
        <v>34</v>
      </c>
      <c r="Z5" s="44" t="s">
        <v>42</v>
      </c>
      <c r="AA5" s="44" t="s">
        <v>43</v>
      </c>
      <c r="AB5" s="57" t="s">
        <v>42</v>
      </c>
    </row>
    <row r="6" s="5" customFormat="1" ht="34" customHeight="1" spans="1:28">
      <c r="A6" s="20">
        <v>1</v>
      </c>
      <c r="B6" s="21" t="s">
        <v>44</v>
      </c>
      <c r="C6" s="21" t="s">
        <v>45</v>
      </c>
      <c r="D6" s="22">
        <v>12</v>
      </c>
      <c r="E6" s="23" t="s">
        <v>46</v>
      </c>
      <c r="F6" s="23">
        <v>2</v>
      </c>
      <c r="G6" s="22">
        <v>2</v>
      </c>
      <c r="H6" s="23">
        <v>1</v>
      </c>
      <c r="I6" s="45">
        <v>80</v>
      </c>
      <c r="J6" s="45">
        <v>0.8</v>
      </c>
      <c r="K6" s="45">
        <v>6</v>
      </c>
      <c r="L6" s="45">
        <v>1</v>
      </c>
      <c r="M6" s="46">
        <f>F6*20</f>
        <v>40</v>
      </c>
      <c r="N6" s="46">
        <f>(G6-1)/0.1*2*F6</f>
        <v>40</v>
      </c>
      <c r="O6" s="46">
        <f>5*F6</f>
        <v>10</v>
      </c>
      <c r="P6" s="46">
        <f>H6*15</f>
        <v>15</v>
      </c>
      <c r="Q6" s="46">
        <f>I6/J6</f>
        <v>100</v>
      </c>
      <c r="R6" s="46">
        <f>K6*5</f>
        <v>30</v>
      </c>
      <c r="S6" s="46">
        <f>L6*10</f>
        <v>10</v>
      </c>
      <c r="T6" s="50">
        <v>45</v>
      </c>
      <c r="U6" s="51">
        <f>SUM(M6:T6)</f>
        <v>290</v>
      </c>
      <c r="V6" s="51">
        <f>3600/U6</f>
        <v>12.4137931034483</v>
      </c>
      <c r="W6" s="52">
        <f>D6/V6</f>
        <v>0.966666666666667</v>
      </c>
      <c r="X6" s="51">
        <f>W6</f>
        <v>0.966666666666667</v>
      </c>
      <c r="Y6" s="58">
        <v>1</v>
      </c>
      <c r="Z6" s="51">
        <f>X6*0.3*Y6</f>
        <v>0.29</v>
      </c>
      <c r="AA6" s="59">
        <f>X6/(AB6-Z6)</f>
        <v>0.565302144249513</v>
      </c>
      <c r="AB6" s="60">
        <f>ROUNDUP(X6+Z6,0)</f>
        <v>2</v>
      </c>
    </row>
    <row r="7" s="6" customFormat="1" ht="24" customHeight="1" spans="2:28"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47" t="s">
        <v>47</v>
      </c>
      <c r="N7" s="48"/>
      <c r="O7" s="48"/>
      <c r="P7" s="48"/>
      <c r="Q7" s="48"/>
      <c r="R7" s="48"/>
      <c r="S7" s="48"/>
      <c r="T7" s="48"/>
      <c r="U7" s="48"/>
      <c r="V7" s="53" t="s">
        <v>48</v>
      </c>
      <c r="W7" s="54"/>
      <c r="X7" s="54"/>
      <c r="Y7" s="54"/>
      <c r="Z7" s="54"/>
      <c r="AA7" s="61"/>
      <c r="AB7" s="62"/>
    </row>
    <row r="8" ht="38" customHeight="1" spans="1:28">
      <c r="A8" s="25" t="s">
        <v>49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ht="34" customHeight="1" spans="1:28">
      <c r="A9" s="26">
        <v>1</v>
      </c>
      <c r="B9" s="27" t="s">
        <v>50</v>
      </c>
      <c r="C9" s="28" t="s">
        <v>51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 ht="34" customHeight="1" spans="1:28">
      <c r="A10" s="26">
        <v>2</v>
      </c>
      <c r="B10" s="27" t="s">
        <v>52</v>
      </c>
      <c r="C10" s="29" t="s">
        <v>53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 ht="34" customHeight="1" spans="1:28">
      <c r="A11" s="26">
        <v>3</v>
      </c>
      <c r="B11" s="27" t="s">
        <v>54</v>
      </c>
      <c r="C11" s="28" t="s">
        <v>55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 ht="34" customHeight="1" spans="1:28">
      <c r="A12" s="26">
        <v>4</v>
      </c>
      <c r="B12" s="30" t="s">
        <v>56</v>
      </c>
      <c r="C12" s="29" t="s">
        <v>57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</row>
    <row r="13" ht="34" customHeight="1" spans="1:28">
      <c r="A13" s="26">
        <v>5</v>
      </c>
      <c r="B13" s="30" t="s">
        <v>58</v>
      </c>
      <c r="C13" s="28" t="s">
        <v>59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</row>
    <row r="14" ht="34" customHeight="1" spans="1:28">
      <c r="A14" s="26">
        <v>6</v>
      </c>
      <c r="B14" s="30" t="s">
        <v>60</v>
      </c>
      <c r="C14" s="28" t="s">
        <v>61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</row>
    <row r="15" ht="34" customHeight="1" spans="1:28">
      <c r="A15" s="26">
        <v>7</v>
      </c>
      <c r="B15" s="27" t="s">
        <v>62</v>
      </c>
      <c r="C15" s="28" t="s">
        <v>63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 ht="34" customHeight="1" spans="1:28">
      <c r="A16" s="26">
        <v>8</v>
      </c>
      <c r="B16" s="27" t="s">
        <v>64</v>
      </c>
      <c r="C16" s="28" t="s">
        <v>65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 ht="34" customHeight="1" spans="1:28">
      <c r="A17" s="26">
        <v>7</v>
      </c>
      <c r="B17" s="27" t="s">
        <v>66</v>
      </c>
      <c r="C17" s="28" t="s">
        <v>67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 ht="34" customHeight="1" spans="1:28">
      <c r="A18" s="26">
        <v>9</v>
      </c>
      <c r="B18" s="27" t="s">
        <v>68</v>
      </c>
      <c r="C18" s="28" t="s">
        <v>69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</row>
    <row r="19" ht="34" customHeight="1" spans="1:28">
      <c r="A19" s="26">
        <v>10</v>
      </c>
      <c r="B19" s="30" t="s">
        <v>70</v>
      </c>
      <c r="C19" s="29" t="s">
        <v>71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ht="34" customHeight="1" spans="1:28">
      <c r="A20" s="26">
        <v>11</v>
      </c>
      <c r="B20" s="27" t="s">
        <v>72</v>
      </c>
      <c r="C20" s="28" t="s">
        <v>73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34" customHeight="1" spans="1:28">
      <c r="A21" s="26">
        <v>12</v>
      </c>
      <c r="B21" s="27" t="s">
        <v>74</v>
      </c>
      <c r="C21" s="28" t="s">
        <v>75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 ht="34" customHeight="1" spans="1:28">
      <c r="A22" s="26">
        <v>13</v>
      </c>
      <c r="B22" s="27" t="s">
        <v>76</v>
      </c>
      <c r="C22" s="28" t="s">
        <v>77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ht="34" customHeight="1"/>
    <row r="24" ht="34" customHeight="1" spans="3:13">
      <c r="C24" s="31" t="s">
        <v>78</v>
      </c>
      <c r="D24" s="32" t="s">
        <v>10</v>
      </c>
      <c r="E24" s="33"/>
      <c r="F24" s="34" t="s">
        <v>79</v>
      </c>
      <c r="G24" s="34" t="s">
        <v>46</v>
      </c>
      <c r="H24" s="34" t="s">
        <v>80</v>
      </c>
      <c r="I24" s="34" t="s">
        <v>81</v>
      </c>
      <c r="J24" s="34" t="s">
        <v>82</v>
      </c>
      <c r="K24" s="34" t="s">
        <v>83</v>
      </c>
      <c r="L24" s="34" t="s">
        <v>84</v>
      </c>
      <c r="M24" s="34" t="s">
        <v>85</v>
      </c>
    </row>
    <row r="25" ht="34" customHeight="1" spans="3:13">
      <c r="C25" s="35"/>
      <c r="D25" s="36" t="s">
        <v>86</v>
      </c>
      <c r="E25" s="37" t="s">
        <v>87</v>
      </c>
      <c r="F25" s="37">
        <v>0.1</v>
      </c>
      <c r="G25" s="37">
        <v>0.1</v>
      </c>
      <c r="H25" s="37">
        <v>0.12</v>
      </c>
      <c r="I25" s="37">
        <v>0.15</v>
      </c>
      <c r="J25" s="37">
        <v>0.12</v>
      </c>
      <c r="K25" s="37">
        <v>0.4</v>
      </c>
      <c r="L25" s="37">
        <v>0.12</v>
      </c>
      <c r="M25" s="37"/>
    </row>
    <row r="26" ht="34" customHeight="1" spans="3:13">
      <c r="C26" s="35"/>
      <c r="D26" s="37"/>
      <c r="E26" s="37" t="s">
        <v>88</v>
      </c>
      <c r="F26" s="37">
        <v>0.08</v>
      </c>
      <c r="G26" s="37">
        <v>0.08</v>
      </c>
      <c r="H26" s="37">
        <v>0.09</v>
      </c>
      <c r="I26" s="37">
        <v>0.1</v>
      </c>
      <c r="J26" s="37">
        <v>0.09</v>
      </c>
      <c r="K26" s="37">
        <v>0.3</v>
      </c>
      <c r="L26" s="37">
        <v>0.09</v>
      </c>
      <c r="M26" s="37"/>
    </row>
    <row r="27" ht="34" customHeight="1" spans="3:13">
      <c r="C27" s="35"/>
      <c r="D27" s="36" t="s">
        <v>89</v>
      </c>
      <c r="E27" s="37" t="s">
        <v>87</v>
      </c>
      <c r="F27" s="37">
        <v>0.08</v>
      </c>
      <c r="G27" s="37">
        <v>0.08</v>
      </c>
      <c r="H27" s="37">
        <v>0.09</v>
      </c>
      <c r="I27" s="37">
        <v>0.1</v>
      </c>
      <c r="J27" s="37">
        <v>0.09</v>
      </c>
      <c r="K27" s="37">
        <v>0.3</v>
      </c>
      <c r="L27" s="37">
        <v>0.09</v>
      </c>
      <c r="M27" s="37"/>
    </row>
    <row r="28" ht="34" customHeight="1" spans="3:13">
      <c r="C28" s="35"/>
      <c r="D28" s="37"/>
      <c r="E28" s="37" t="s">
        <v>88</v>
      </c>
      <c r="F28" s="37">
        <v>0.12</v>
      </c>
      <c r="G28" s="37">
        <v>0.12</v>
      </c>
      <c r="H28" s="37">
        <v>0.12</v>
      </c>
      <c r="I28" s="37">
        <v>0.15</v>
      </c>
      <c r="J28" s="37">
        <v>0.1</v>
      </c>
      <c r="K28" s="37">
        <v>0.4</v>
      </c>
      <c r="L28" s="37">
        <v>0.1</v>
      </c>
      <c r="M28" s="37"/>
    </row>
    <row r="29" ht="45" customHeight="1" spans="3:13">
      <c r="C29" s="35"/>
      <c r="D29" s="36" t="s">
        <v>90</v>
      </c>
      <c r="E29" s="37" t="s">
        <v>34</v>
      </c>
      <c r="F29" s="37">
        <v>0</v>
      </c>
      <c r="G29" s="37">
        <v>0</v>
      </c>
      <c r="H29" s="37">
        <v>0</v>
      </c>
      <c r="I29" s="37">
        <v>0</v>
      </c>
      <c r="J29" s="37"/>
      <c r="K29" s="37"/>
      <c r="L29" s="37"/>
      <c r="M29" s="37">
        <v>0</v>
      </c>
    </row>
    <row r="30" ht="45" customHeight="1" spans="3:13">
      <c r="C30" s="35"/>
      <c r="D30" s="36" t="s">
        <v>91</v>
      </c>
      <c r="E30" s="37" t="s">
        <v>34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/>
    </row>
    <row r="31" spans="4:13">
      <c r="D31" s="38" t="s">
        <v>92</v>
      </c>
      <c r="E31" s="38"/>
      <c r="F31" s="38"/>
      <c r="G31" s="38"/>
      <c r="H31" s="38"/>
      <c r="I31" s="38"/>
      <c r="J31" s="38"/>
      <c r="K31" s="38"/>
      <c r="L31" s="38"/>
      <c r="M31" s="38"/>
    </row>
  </sheetData>
  <mergeCells count="28">
    <mergeCell ref="A1:AB1"/>
    <mergeCell ref="A2:AB2"/>
    <mergeCell ref="A3:D3"/>
    <mergeCell ref="E3:L3"/>
    <mergeCell ref="M3:AA3"/>
    <mergeCell ref="M7:U7"/>
    <mergeCell ref="V7:AA7"/>
    <mergeCell ref="A8:AB8"/>
    <mergeCell ref="C9:AB9"/>
    <mergeCell ref="C10:AB10"/>
    <mergeCell ref="C11:AB11"/>
    <mergeCell ref="C12:AB12"/>
    <mergeCell ref="C13:AB13"/>
    <mergeCell ref="C14:AB14"/>
    <mergeCell ref="C15:AB15"/>
    <mergeCell ref="C16:AB16"/>
    <mergeCell ref="C17:AB17"/>
    <mergeCell ref="C18:AB18"/>
    <mergeCell ref="C19:AB19"/>
    <mergeCell ref="C20:AB20"/>
    <mergeCell ref="C21:AB21"/>
    <mergeCell ref="C22:AB22"/>
    <mergeCell ref="D24:E24"/>
    <mergeCell ref="D31:M31"/>
    <mergeCell ref="A4:A5"/>
    <mergeCell ref="C24:C30"/>
    <mergeCell ref="D25:D26"/>
    <mergeCell ref="D27:D28"/>
  </mergeCells>
  <conditionalFormatting sqref="AA6">
    <cfRule type="cellIs" dxfId="0" priority="1" operator="greaterThan">
      <formula>0.9</formula>
    </cfRule>
  </conditionalFormatting>
  <dataValidations count="1">
    <dataValidation type="list" allowBlank="1" showInputMessage="1" showErrorMessage="1" sqref="Y6">
      <formula1>"1,0"</formula1>
    </dataValidation>
  </dataValidations>
  <pageMargins left="0.7" right="0.7" top="0.75" bottom="0.75" header="0.3" footer="0.3"/>
  <pageSetup paperSize="9" scale="40" fitToHeight="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8"/>
  <sheetViews>
    <sheetView workbookViewId="0">
      <selection activeCell="B34" sqref="B34"/>
    </sheetView>
  </sheetViews>
  <sheetFormatPr defaultColWidth="9" defaultRowHeight="14.4" outlineLevelRow="7" outlineLevelCol="3"/>
  <cols>
    <col min="1" max="1" width="9" style="1"/>
    <col min="2" max="2" width="11.8796296296296" style="1" customWidth="1"/>
    <col min="3" max="3" width="9" style="1"/>
    <col min="4" max="4" width="15" style="1" customWidth="1"/>
    <col min="5" max="16384" width="9" style="1"/>
  </cols>
  <sheetData>
    <row r="2" spans="2:4">
      <c r="B2" s="1" t="s">
        <v>93</v>
      </c>
      <c r="C2" s="1" t="s">
        <v>94</v>
      </c>
      <c r="D2" s="1" t="s">
        <v>95</v>
      </c>
    </row>
    <row r="3" spans="1:4">
      <c r="A3" s="1" t="s">
        <v>96</v>
      </c>
      <c r="B3" s="1">
        <v>30</v>
      </c>
      <c r="C3" s="1">
        <v>30</v>
      </c>
      <c r="D3" s="1">
        <f t="shared" ref="D3:D8" si="0">B3+C3</f>
        <v>60</v>
      </c>
    </row>
    <row r="4" spans="1:4">
      <c r="A4" s="1" t="s">
        <v>97</v>
      </c>
      <c r="B4" s="1">
        <v>35</v>
      </c>
      <c r="C4" s="1">
        <v>30</v>
      </c>
      <c r="D4" s="1">
        <f t="shared" si="0"/>
        <v>65</v>
      </c>
    </row>
    <row r="5" spans="1:4">
      <c r="A5" s="1" t="s">
        <v>98</v>
      </c>
      <c r="B5" s="1">
        <v>35</v>
      </c>
      <c r="C5" s="1">
        <v>35</v>
      </c>
      <c r="D5" s="1">
        <f t="shared" si="0"/>
        <v>70</v>
      </c>
    </row>
    <row r="6" spans="1:4">
      <c r="A6" s="1" t="s">
        <v>99</v>
      </c>
      <c r="B6" s="1">
        <v>35</v>
      </c>
      <c r="C6" s="1">
        <v>35</v>
      </c>
      <c r="D6" s="1">
        <f t="shared" si="0"/>
        <v>70</v>
      </c>
    </row>
    <row r="7" spans="1:4">
      <c r="A7" s="1" t="s">
        <v>100</v>
      </c>
      <c r="B7" s="1">
        <v>45</v>
      </c>
      <c r="C7" s="1">
        <v>30</v>
      </c>
      <c r="D7" s="1">
        <f t="shared" si="0"/>
        <v>75</v>
      </c>
    </row>
    <row r="8" spans="1:4">
      <c r="A8" s="1" t="s">
        <v>101</v>
      </c>
      <c r="B8" s="1">
        <v>60</v>
      </c>
      <c r="C8" s="1">
        <v>35</v>
      </c>
      <c r="D8" s="1">
        <f t="shared" si="0"/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机器人数量测算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</dc:creator>
  <cp:lastModifiedBy>远行客</cp:lastModifiedBy>
  <dcterms:created xsi:type="dcterms:W3CDTF">2017-01-24T03:57:00Z</dcterms:created>
  <cp:lastPrinted>2020-03-30T06:45:00Z</cp:lastPrinted>
  <dcterms:modified xsi:type="dcterms:W3CDTF">2024-10-12T00:32:46Z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0C4CEEBF54C54DE4989E2D6C4B6EA783_13</vt:lpwstr>
  </property>
  <property fmtid="{D5CDD505-2E9C-101B-9397-08002B2CF9AE}" pid="4" name="KSOReadingLayout">
    <vt:bool>false</vt:bool>
  </property>
</Properties>
</file>